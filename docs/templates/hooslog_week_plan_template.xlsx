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 Plan" sheetId="1" state="visible" r:id="rId1"/>
    <sheet xmlns:r="http://schemas.openxmlformats.org/officeDocument/2006/relationships" name="Goals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ddd\ m/d"/>
  </numFmts>
  <fonts count="7">
    <font>
      <name val="Calibri"/>
      <family val="2"/>
      <color theme="1"/>
      <sz val="11"/>
      <scheme val="minor"/>
    </font>
    <font>
      <name val="Arial"/>
      <b val="1"/>
      <color rgb="FF232D4B"/>
      <sz val="16"/>
    </font>
    <font>
      <name val="Arial"/>
      <b val="1"/>
      <color rgb="FF232D4B"/>
      <sz val="10"/>
    </font>
    <font>
      <name val="Arial"/>
      <sz val="10"/>
    </font>
    <font>
      <name val="Arial"/>
      <color rgb="FF5C6478"/>
      <sz val="9"/>
    </font>
    <font>
      <name val="Arial"/>
      <b val="1"/>
      <color rgb="FFFFFFFF"/>
      <sz val="10"/>
    </font>
    <font>
      <name val="Arial"/>
      <b val="1"/>
      <color rgb="FF232D4B"/>
      <sz val="9"/>
    </font>
  </fonts>
  <fills count="4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232D4B"/>
      </patternFill>
    </fill>
  </fills>
  <borders count="2">
    <border>
      <left/>
      <right/>
      <top/>
      <bottom/>
      <diagonal/>
    </border>
    <border>
      <bottom style="thin">
        <color rgb="FFBFC5D2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2" borderId="1" pivotButton="0" quotePrefix="0" xfId="0"/>
    <xf numFmtId="0" fontId="4" fillId="0" borderId="0" pivotButton="0" quotePrefix="0" xfId="0"/>
    <xf numFmtId="0" fontId="5" fillId="3" borderId="1" pivotButton="0" quotePrefix="0" xfId="0"/>
    <xf numFmtId="0" fontId="2" fillId="0" borderId="1" applyAlignment="1" pivotButton="0" quotePrefix="0" xfId="0">
      <alignment vertical="top"/>
    </xf>
    <xf numFmtId="166" fontId="3" fillId="0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pivotButton="0" quotePrefix="0" xfId="0"/>
    <xf numFmtId="0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50" customWidth="1" min="3" max="3"/>
    <col width="50" customWidth="1" min="4" max="4"/>
    <col width="44" customWidth="1" min="6" max="6"/>
  </cols>
  <sheetData>
    <row r="1" ht="20" customHeight="1">
      <c r="A1" s="1" t="inlineStr">
        <is>
          <t>HoosLog — Weekly Plan</t>
        </is>
      </c>
    </row>
    <row r="3">
      <c r="A3" s="2" t="inlineStr">
        <is>
          <t>Week of (Monday):</t>
        </is>
      </c>
      <c r="B3" s="3" t="n">
        <v>46272</v>
      </c>
      <c r="C3" s="4" t="inlineStr">
        <is>
          <t>← edit this one date; every day below updates itself</t>
        </is>
      </c>
    </row>
    <row r="5">
      <c r="A5" s="5" t="inlineStr">
        <is>
          <t>DAY</t>
        </is>
      </c>
      <c r="B5" s="5" t="inlineStr">
        <is>
          <t>DATE</t>
        </is>
      </c>
      <c r="C5" s="5" t="inlineStr">
        <is>
          <t>DISTANCE PLAN</t>
        </is>
      </c>
      <c r="D5" s="5" t="inlineStr">
        <is>
          <t>MID-DISTANCE PLAN</t>
        </is>
      </c>
      <c r="F5" s="2" t="inlineStr">
        <is>
          <t>HOW TO FILL THIS IN</t>
        </is>
      </c>
    </row>
    <row r="6" ht="30" customHeight="1">
      <c r="A6" s="6" t="inlineStr">
        <is>
          <t>Monday</t>
        </is>
      </c>
      <c r="B6" s="7">
        <f>$B$3</f>
        <v/>
      </c>
      <c r="C6" s="8" t="n"/>
      <c r="D6" s="8" t="n"/>
      <c r="F6" s="4" t="inlineStr">
        <is>
          <t>Two columns = two schedules. Column C is what the</t>
        </is>
      </c>
    </row>
    <row r="7" ht="30" customHeight="1">
      <c r="A7" s="6" t="inlineStr">
        <is>
          <t>Tuesday</t>
        </is>
      </c>
      <c r="B7" s="7">
        <f>$B$3+1</f>
        <v/>
      </c>
      <c r="C7" s="8" t="n"/>
      <c r="D7" s="8" t="n"/>
      <c r="F7" s="4" t="inlineStr">
        <is>
          <t>distance guys run, column D is what the mid-D guys run.</t>
        </is>
      </c>
    </row>
    <row r="8" ht="30" customHeight="1">
      <c r="A8" s="6" t="inlineStr">
        <is>
          <t>Wednesday</t>
        </is>
      </c>
      <c r="B8" s="7">
        <f>$B$3+2</f>
        <v/>
      </c>
      <c r="C8" s="8" t="n"/>
      <c r="D8" s="8" t="n"/>
      <c r="F8" s="4" t="inlineStr">
        <is>
          <t>Format is the same as the paper sheet, e.g.</t>
        </is>
      </c>
    </row>
    <row r="9" ht="30" customHeight="1">
      <c r="A9" s="6" t="inlineStr">
        <is>
          <t>Thursday</t>
        </is>
      </c>
      <c r="B9" s="7">
        <f>$B$3+3</f>
        <v/>
      </c>
      <c r="C9" s="8" t="n"/>
      <c r="D9" s="8" t="n"/>
      <c r="F9" s="4" t="inlineStr">
        <is>
          <t xml:space="preserve">   "TR + hurdles + drills, WEIGHTS"</t>
        </is>
      </c>
    </row>
    <row r="10" ht="30" customHeight="1">
      <c r="A10" s="6" t="inlineStr">
        <is>
          <t>Friday</t>
        </is>
      </c>
      <c r="B10" s="7">
        <f>$B$3+4</f>
        <v/>
      </c>
      <c r="C10" s="8" t="n"/>
      <c r="D10" s="8" t="n"/>
      <c r="F10" s="4" t="inlineStr">
        <is>
          <t xml:space="preserve">   "3x1mi @ threshold, 2min rest"</t>
        </is>
      </c>
    </row>
    <row r="11" ht="30" customHeight="1">
      <c r="A11" s="6" t="inlineStr">
        <is>
          <t>Saturday</t>
        </is>
      </c>
      <c r="B11" s="7">
        <f>$B$3+5</f>
        <v/>
      </c>
      <c r="C11" s="8" t="n"/>
      <c r="D11" s="8" t="n"/>
      <c r="F11" s="4" t="inlineStr">
        <is>
          <t>Leave a day blank for no plan.</t>
        </is>
      </c>
    </row>
    <row r="12" ht="30" customHeight="1">
      <c r="A12" s="6" t="inlineStr">
        <is>
          <t>Sunday</t>
        </is>
      </c>
      <c r="B12" s="7">
        <f>$B$3+6</f>
        <v/>
      </c>
      <c r="C12" s="8" t="n"/>
      <c r="D12" s="8" t="n"/>
      <c r="F12" s="4" t="inlineStr">
        <is>
          <t>Who is mid-D is set on the Goals tab, not here.</t>
        </is>
      </c>
    </row>
    <row r="14">
      <c r="A14" s="4" t="inlineStr">
        <is>
          <t>Yellow cells are yours: the Monday date, and each day's plan in BOTH columns. Leave a day blank for no plan. Don't add or delete rows or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6" customWidth="1" min="4" max="4"/>
    <col width="20" customWidth="1" min="5" max="5"/>
    <col width="52" customWidth="1" min="7" max="7"/>
    <col width="10" customWidth="1" min="8" max="8"/>
  </cols>
  <sheetData>
    <row r="1" ht="39" customHeight="1">
      <c r="A1" s="9" t="inlineStr">
        <is>
          <t>ATHLETE NAME</t>
        </is>
      </c>
      <c r="B1" s="9" t="inlineStr">
        <is>
          <t>UVA EMAIL</t>
        </is>
      </c>
      <c r="C1" s="9" t="inlineStr">
        <is>
          <t>WEEKLY GOAL (MILES)</t>
        </is>
      </c>
      <c r="D1" s="9" t="inlineStr">
        <is>
          <t>GROUP</t>
        </is>
      </c>
      <c r="E1" s="9" t="inlineStr">
        <is>
          <t>LONG RUN (MILES)</t>
        </is>
      </c>
      <c r="G1" s="10" t="inlineStr">
        <is>
          <t>Yellow cells are yours: weekly mileage, group, and long run.</t>
        </is>
      </c>
    </row>
    <row r="2">
      <c r="A2" s="11" t="inlineStr">
        <is>
          <t>Henry Elijah Acorn</t>
        </is>
      </c>
      <c r="B2" s="11" t="inlineStr">
        <is>
          <t>dms7jc@virginia.edu</t>
        </is>
      </c>
      <c r="C2" s="12" t="n"/>
      <c r="D2" s="13" t="n"/>
      <c r="E2" s="12" t="n"/>
      <c r="G2" s="4" t="inlineStr">
        <is>
          <t>WEEKLY (C) — everyone gets a number, both groups. Plain (58), a range</t>
        </is>
      </c>
    </row>
    <row r="3">
      <c r="A3" s="11" t="inlineStr">
        <is>
          <t>Adam Christopher Balewicz</t>
        </is>
      </c>
      <c r="B3" s="11" t="inlineStr">
        <is>
          <t>hww4nw@virginia.edu</t>
        </is>
      </c>
      <c r="C3" s="12" t="n"/>
      <c r="D3" s="13" t="n"/>
      <c r="E3" s="12" t="n"/>
      <c r="G3" s="4" t="inlineStr">
        <is>
          <t xml:space="preserve">           (55-60), or a minimum (60+). Blank = leave last week's alone.</t>
        </is>
      </c>
    </row>
    <row r="4">
      <c r="A4" s="11" t="inlineStr">
        <is>
          <t>Henry Trepagnier Birge</t>
        </is>
      </c>
      <c r="B4" s="11" t="inlineStr">
        <is>
          <t>qjp4nm@virginia.edu</t>
        </is>
      </c>
      <c r="C4" s="12" t="n"/>
      <c r="D4" s="13" t="n"/>
      <c r="E4" s="12" t="n"/>
      <c r="G4" s="4" t="inlineStr">
        <is>
          <t>GROUP (D) — Distance or Mid-D. This is what decides which of the two</t>
        </is>
      </c>
    </row>
    <row r="5">
      <c r="A5" s="11" t="inlineStr">
        <is>
          <t>Ciaran Donnacha Brosnan</t>
        </is>
      </c>
      <c r="B5" s="11" t="inlineStr">
        <is>
          <t>wzz9ed@virginia.edu</t>
        </is>
      </c>
      <c r="C5" s="12" t="n"/>
      <c r="D5" s="13" t="n"/>
      <c r="E5" s="12" t="n"/>
      <c r="G5" s="4" t="inlineStr">
        <is>
          <t xml:space="preserve">           plan columns the athlete sees. Set it once; it sticks week</t>
        </is>
      </c>
    </row>
    <row r="6">
      <c r="A6" s="11" t="inlineStr">
        <is>
          <t>Shane Makana Brosnan</t>
        </is>
      </c>
      <c r="B6" s="11" t="inlineStr">
        <is>
          <t>atu4xv@virginia.edu</t>
        </is>
      </c>
      <c r="C6" s="12" t="n"/>
      <c r="D6" s="13" t="n"/>
      <c r="E6" s="12" t="n"/>
      <c r="G6" s="4" t="inlineStr">
        <is>
          <t xml:space="preserve">           to week. Leave blank to leave an athlete where they are.</t>
        </is>
      </c>
    </row>
    <row r="7">
      <c r="A7" s="11" t="inlineStr">
        <is>
          <t>Aidan Timothy Cox</t>
        </is>
      </c>
      <c r="B7" s="11" t="inlineStr">
        <is>
          <t>sen4zu@virginia.edu</t>
        </is>
      </c>
      <c r="C7" s="12" t="n"/>
      <c r="D7" s="13" t="n"/>
      <c r="E7" s="12" t="n"/>
      <c r="G7" s="4" t="inlineStr">
        <is>
          <t>LONG RUN (E) — how long that week's long run should be, same formats</t>
        </is>
      </c>
    </row>
    <row r="8">
      <c r="A8" s="11" t="inlineStr">
        <is>
          <t>Philip David Cupial</t>
        </is>
      </c>
      <c r="B8" s="11" t="inlineStr">
        <is>
          <t>hju5az@virginia.edu</t>
        </is>
      </c>
      <c r="C8" s="12" t="n"/>
      <c r="D8" s="13" t="n"/>
      <c r="E8" s="12" t="n"/>
      <c r="G8" s="4" t="inlineStr">
        <is>
          <t xml:space="preserve">           as weekly (14, 14-16, 16+). Blank = no long run this week.</t>
        </is>
      </c>
    </row>
    <row r="9">
      <c r="A9" s="11" t="inlineStr">
        <is>
          <t>Trent W Daniels</t>
        </is>
      </c>
      <c r="B9" s="11" t="inlineStr">
        <is>
          <t>gyu5nm@virginia.edu</t>
        </is>
      </c>
      <c r="C9" s="12" t="n"/>
      <c r="D9" s="13" t="n"/>
      <c r="E9" s="12" t="n"/>
      <c r="G9" s="4" t="inlineStr">
        <is>
          <t>Names and emails are the current roster — don't retype them. The email</t>
        </is>
      </c>
    </row>
    <row r="10">
      <c r="A10" s="11" t="inlineStr">
        <is>
          <t>James Joseph Donahue</t>
        </is>
      </c>
      <c r="B10" s="11" t="inlineStr">
        <is>
          <t>rwd8an@virginia.edu</t>
        </is>
      </c>
      <c r="C10" s="12" t="n"/>
      <c r="D10" s="13" t="n"/>
      <c r="E10" s="12" t="n"/>
      <c r="G10" s="4" t="inlineStr">
        <is>
          <t>is how the upload finds each athlete's account.</t>
        </is>
      </c>
    </row>
    <row r="11">
      <c r="A11" s="11" t="inlineStr">
        <is>
          <t>Cayden Wayne Dyer</t>
        </is>
      </c>
      <c r="B11" s="11" t="inlineStr">
        <is>
          <t>kma8am@virginia.edu</t>
        </is>
      </c>
      <c r="C11" s="12" t="n"/>
      <c r="D11" s="13" t="n"/>
      <c r="E11" s="12" t="n"/>
    </row>
    <row r="12">
      <c r="A12" s="11" t="inlineStr">
        <is>
          <t>Tyler William Edson</t>
        </is>
      </c>
      <c r="B12" s="11" t="inlineStr">
        <is>
          <t>ret8ve@virginia.edu</t>
        </is>
      </c>
      <c r="C12" s="12" t="n"/>
      <c r="D12" s="13" t="n"/>
      <c r="E12" s="12" t="n"/>
    </row>
    <row r="13">
      <c r="A13" s="11" t="inlineStr">
        <is>
          <t>Quinn Dulany Eliason</t>
        </is>
      </c>
      <c r="B13" s="11" t="inlineStr">
        <is>
          <t>dtw3fe@virginia.edu</t>
        </is>
      </c>
      <c r="C13" s="12" t="n"/>
      <c r="D13" s="13" t="n"/>
      <c r="E13" s="12" t="n"/>
    </row>
    <row r="14">
      <c r="A14" s="11" t="inlineStr">
        <is>
          <t>James Bruce Ford</t>
        </is>
      </c>
      <c r="B14" s="11" t="inlineStr">
        <is>
          <t>jbe9ns@virginia.edu</t>
        </is>
      </c>
      <c r="C14" s="12" t="n"/>
      <c r="D14" s="13" t="n"/>
      <c r="E14" s="12" t="n"/>
    </row>
    <row r="15">
      <c r="A15" s="11" t="inlineStr">
        <is>
          <t>Ben Isaac Godish</t>
        </is>
      </c>
      <c r="B15" s="11" t="inlineStr">
        <is>
          <t>qnp3nj@virginia.edu</t>
        </is>
      </c>
      <c r="C15" s="12" t="n"/>
      <c r="D15" s="13" t="n"/>
      <c r="E15" s="12" t="n"/>
    </row>
    <row r="16">
      <c r="A16" s="11" t="inlineStr">
        <is>
          <t>Sean Warren Gray</t>
        </is>
      </c>
      <c r="B16" s="11" t="inlineStr">
        <is>
          <t>euu8xk@virginia.edu</t>
        </is>
      </c>
      <c r="C16" s="12" t="n"/>
      <c r="D16" s="13" t="n"/>
      <c r="E16" s="12" t="n"/>
    </row>
    <row r="17">
      <c r="A17" s="11" t="inlineStr">
        <is>
          <t>Cooper Davis Groat</t>
        </is>
      </c>
      <c r="B17" s="11" t="inlineStr">
        <is>
          <t>cgd2va@virginia.edu</t>
        </is>
      </c>
      <c r="C17" s="12" t="n"/>
      <c r="D17" s="13" t="n"/>
      <c r="E17" s="12" t="n"/>
    </row>
    <row r="18">
      <c r="A18" s="11" t="inlineStr">
        <is>
          <t>Luke William Hnatt</t>
        </is>
      </c>
      <c r="B18" s="11" t="inlineStr">
        <is>
          <t>tsv8cu@virginia.edu</t>
        </is>
      </c>
      <c r="C18" s="12" t="n"/>
      <c r="D18" s="13" t="n"/>
      <c r="E18" s="12" t="n"/>
    </row>
    <row r="19">
      <c r="A19" s="11" t="inlineStr">
        <is>
          <t>Andrew Graham Jones</t>
        </is>
      </c>
      <c r="B19" s="11" t="inlineStr">
        <is>
          <t>hub9fh@virginia.edu</t>
        </is>
      </c>
      <c r="C19" s="12" t="n"/>
      <c r="D19" s="13" t="n"/>
      <c r="E19" s="12" t="n"/>
    </row>
    <row r="20">
      <c r="A20" s="11" t="inlineStr">
        <is>
          <t>Alex Leath</t>
        </is>
      </c>
      <c r="B20" s="11" t="inlineStr">
        <is>
          <t>kxy2qc@virginia.edu</t>
        </is>
      </c>
      <c r="C20" s="12" t="n"/>
      <c r="D20" s="13" t="n"/>
      <c r="E20" s="12" t="n"/>
    </row>
    <row r="21">
      <c r="A21" s="11" t="inlineStr">
        <is>
          <t>Kayden Thomas Lightner</t>
        </is>
      </c>
      <c r="B21" s="11" t="inlineStr">
        <is>
          <t>nvv5qk@virginia.edu</t>
        </is>
      </c>
      <c r="C21" s="12" t="n"/>
      <c r="D21" s="13" t="n"/>
      <c r="E21" s="12" t="n"/>
    </row>
    <row r="22">
      <c r="A22" s="11" t="inlineStr">
        <is>
          <t>Andrew Tyler Mangum</t>
        </is>
      </c>
      <c r="B22" s="11" t="inlineStr">
        <is>
          <t>utb5vp@virginia.edu</t>
        </is>
      </c>
      <c r="C22" s="12" t="n"/>
      <c r="D22" s="13" t="n"/>
      <c r="E22" s="12" t="n"/>
    </row>
    <row r="23">
      <c r="A23" s="11" t="inlineStr">
        <is>
          <t>Brenden Michael McMahon</t>
        </is>
      </c>
      <c r="B23" s="11" t="inlineStr">
        <is>
          <t>zwh3ga@virginia.edu</t>
        </is>
      </c>
      <c r="C23" s="12" t="n"/>
      <c r="D23" s="13" t="n"/>
      <c r="E23" s="12" t="n"/>
    </row>
    <row r="24">
      <c r="A24" s="11" t="inlineStr">
        <is>
          <t>Eric Moore</t>
        </is>
      </c>
      <c r="B24" s="11" t="inlineStr">
        <is>
          <t>zqu3wh@virginia.edu</t>
        </is>
      </c>
      <c r="C24" s="12" t="n"/>
      <c r="D24" s="13" t="n"/>
      <c r="E24" s="12" t="n"/>
    </row>
    <row r="25">
      <c r="A25" s="11" t="inlineStr">
        <is>
          <t>Richard Charles Moreno</t>
        </is>
      </c>
      <c r="B25" s="11" t="inlineStr">
        <is>
          <t>jxm8cj@virginia.edu</t>
        </is>
      </c>
      <c r="C25" s="12" t="n"/>
      <c r="D25" s="13" t="n"/>
      <c r="E25" s="12" t="n"/>
    </row>
    <row r="26">
      <c r="A26" s="11" t="inlineStr">
        <is>
          <t>Sam John Palmer</t>
        </is>
      </c>
      <c r="B26" s="11" t="inlineStr">
        <is>
          <t>vwz2at@virginia.edu</t>
        </is>
      </c>
      <c r="C26" s="12" t="n"/>
      <c r="D26" s="13" t="n"/>
      <c r="E26" s="12" t="n"/>
    </row>
    <row r="27">
      <c r="A27" s="11" t="inlineStr">
        <is>
          <t>Charles Perry</t>
        </is>
      </c>
      <c r="B27" s="11" t="inlineStr">
        <is>
          <t>ghu7yg@virginia.edu</t>
        </is>
      </c>
      <c r="C27" s="12" t="n"/>
      <c r="D27" s="13" t="n"/>
      <c r="E27" s="12" t="n"/>
    </row>
    <row r="28">
      <c r="A28" s="11" t="inlineStr">
        <is>
          <t>Pierce Conor Seigne</t>
        </is>
      </c>
      <c r="B28" s="11" t="inlineStr">
        <is>
          <t>xrk9rs@virginia.edu</t>
        </is>
      </c>
      <c r="C28" s="12" t="n"/>
      <c r="D28" s="13" t="n"/>
      <c r="E28" s="12" t="n"/>
    </row>
    <row r="29">
      <c r="A29" s="11" t="inlineStr">
        <is>
          <t>Jonathan Logan Seyfert</t>
        </is>
      </c>
      <c r="B29" s="11" t="inlineStr">
        <is>
          <t>mea6wq@virginia.edu</t>
        </is>
      </c>
      <c r="C29" s="12" t="n"/>
      <c r="D29" s="13" t="n"/>
      <c r="E29" s="12" t="n"/>
    </row>
    <row r="30">
      <c r="A30" s="11" t="inlineStr">
        <is>
          <t>William Hayden Sheets</t>
        </is>
      </c>
      <c r="B30" s="11" t="inlineStr">
        <is>
          <t>fnh4mv@virginia.edu</t>
        </is>
      </c>
      <c r="C30" s="12" t="n"/>
      <c r="D30" s="13" t="n"/>
      <c r="E30" s="12" t="n"/>
    </row>
    <row r="31">
      <c r="A31" s="11" t="inlineStr">
        <is>
          <t>Alexander J Valencia</t>
        </is>
      </c>
      <c r="B31" s="11" t="inlineStr">
        <is>
          <t>nrk7dj@virginia.edu</t>
        </is>
      </c>
      <c r="C31" s="12" t="n"/>
      <c r="D31" s="13" t="n"/>
      <c r="E31" s="12" t="n"/>
    </row>
    <row r="32">
      <c r="A32" s="11" t="inlineStr">
        <is>
          <t>Jimmy Wischusen</t>
        </is>
      </c>
      <c r="B32" s="11" t="inlineStr">
        <is>
          <t>kna3ed@virginia.edu</t>
        </is>
      </c>
      <c r="C32" s="12" t="n"/>
      <c r="D32" s="13" t="n"/>
      <c r="E32" s="12" t="n"/>
    </row>
    <row r="34">
      <c r="G34" s="2" t="inlineStr">
        <is>
          <t>Mid-D:</t>
        </is>
      </c>
      <c r="H34" s="14">
        <f>COUNTIF($D$2:$D$32,"Mid-D")</f>
        <v/>
      </c>
    </row>
    <row r="35">
      <c r="G35" s="2" t="inlineStr">
        <is>
          <t>Distance:</t>
        </is>
      </c>
      <c r="H35" s="14">
        <f>COUNTIF($D$2:$D$32,"Distance")</f>
        <v/>
      </c>
    </row>
    <row r="36">
      <c r="G36" s="4" t="inlineStr">
        <is>
          <t>Blank group cells aren't counted — those guys stay where they were.</t>
        </is>
      </c>
    </row>
  </sheetData>
  <dataValidations count="1">
    <dataValidation sqref="D2:D32" showDropDown="0" showInputMessage="0" showErrorMessage="0" allowBlank="1" errorTitle="Distance or Mid-D" error="Type Distance or Mid-D, or leave it blank." promptTitle="Training group" prompt="Distance or Mid-D. Leave blank to keep the athlete where they already are." type="list">
      <formula1>"Distance,Mid-D"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 ht="20" customHeight="1">
      <c r="A1" s="1" t="inlineStr">
        <is>
          <t>HoosLog week-plan template — how it works</t>
        </is>
      </c>
    </row>
    <row r="3">
      <c r="A3" s="14" t="inlineStr">
        <is>
          <t>1. Week Plan tab: set the Monday date (one yellow cell). Type the distance guys' workout in</t>
        </is>
      </c>
    </row>
    <row r="4">
      <c r="A4" s="14" t="inlineStr">
        <is>
          <t xml:space="preserve">   column C and the mid-D guys' workout in column D. Leave a day blank for no plan.</t>
        </is>
      </c>
    </row>
    <row r="5">
      <c r="A5" s="14" t="inlineStr">
        <is>
          <t>2. Goals tab: each athlete's weekly mileage (C), his group (D), and his long run for that</t>
        </is>
      </c>
    </row>
    <row r="6">
      <c r="A6" s="14" t="inlineStr">
        <is>
          <t xml:space="preserve">   week (E). Everyone gets mileage. The group only decides which workout column he sees.</t>
        </is>
      </c>
    </row>
    <row r="7">
      <c r="A7" s="14" t="inlineStr">
        <is>
          <t>3. Save, then drag this file into HoosLog (Coach → Post a week). You'll see exactly what it</t>
        </is>
      </c>
    </row>
    <row r="8">
      <c r="A8" s="14" t="inlineStr">
        <is>
          <t xml:space="preserve">   says — including who's moving groups — before anything posts.</t>
        </is>
      </c>
    </row>
    <row r="10">
      <c r="A10" s="4" t="inlineStr">
        <is>
          <t>Weekly and long run are independent. Filling one and leaving the other blank changes only</t>
        </is>
      </c>
    </row>
    <row r="11">
      <c r="A11" s="4" t="inlineStr">
        <is>
          <t>the one you filled in; it never clears the other.</t>
        </is>
      </c>
    </row>
    <row r="13">
      <c r="A13" s="4" t="inlineStr">
        <is>
          <t>Group assignment sticks. Once a guy is marked Mid-D he stays Mid-D every week until you</t>
        </is>
      </c>
    </row>
    <row r="14">
      <c r="A14" s="4" t="inlineStr">
        <is>
          <t>change that cell. A blank group cell changes nothing — it does not reset him to distance.</t>
        </is>
      </c>
    </row>
    <row r="16">
      <c r="A16" s="4" t="inlineStr">
        <is>
          <t>Rules the upload depends on: don't rename tabs or the Goals header row, don't add or delete</t>
        </is>
      </c>
    </row>
    <row r="17">
      <c r="A17" s="4" t="inlineStr">
        <is>
          <t>rows or columns on the Week Plan tab, and emails on the Goals tab must match athletes'</t>
        </is>
      </c>
    </row>
    <row r="18">
      <c r="A18" s="4" t="inlineStr">
        <is>
          <t>HoosLog login emails.</t>
        </is>
      </c>
    </row>
    <row r="20">
      <c r="A20" s="4" t="inlineStr">
        <is>
          <t>Recreated from the team's paper weekly sheet — same structure, same workflow. (docs/mockups/10)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2026-09-15T15:40:03Z</dcterms:created>
  <dcterms:modified xmlns:dcterms="http://purl.org/dc/terms/" xmlns:xsi="http://www.w3.org/2001/XMLSchema-instance" xsi:type="dcterms:W3CDTF">2026-09-15T15:40:03Z</dcterms:modified>
</cp:coreProperties>
</file>