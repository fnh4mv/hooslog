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eek Plan" sheetId="1" state="visible" r:id="rId3"/>
    <sheet name="Goals" sheetId="2" state="visible" r:id="rId4"/>
    <sheet name="READ M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<sst xmlns="http://schemas.openxmlformats.org/spreadsheetml/2006/main" count="156" uniqueCount="125">
  <si>
    <t xml:space="preserve">HoosLog — Weekly Plan</t>
  </si>
  <si>
    <t xml:space="preserve">Week of (Monday):</t>
  </si>
  <si>
    <t xml:space="preserve">← edit this one date; every day below updates itself</t>
  </si>
  <si>
    <t xml:space="preserve">DAY</t>
  </si>
  <si>
    <t xml:space="preserve">DATE</t>
  </si>
  <si>
    <t xml:space="preserve">DISTANCE PLAN</t>
  </si>
  <si>
    <t xml:space="preserve">MID-DISTANCE PLAN</t>
  </si>
  <si>
    <t xml:space="preserve">HOW TO FILL THIS IN</t>
  </si>
  <si>
    <t xml:space="preserve">Monday</t>
  </si>
  <si>
    <t xml:space="preserve">TR + hurdles + drills, WEIGHTS</t>
  </si>
  <si>
    <t xml:space="preserve">Two columns = two schedules. Column C is what the</t>
  </si>
  <si>
    <t xml:space="preserve">Tuesday</t>
  </si>
  <si>
    <t xml:space="preserve">6x1mi @ threshold, 90s rest</t>
  </si>
  <si>
    <t xml:space="preserve">8x400 @ 3k pace, 2min rest</t>
  </si>
  <si>
    <t xml:space="preserve">distance guys run, column D is what the mid-D guys run.</t>
  </si>
  <si>
    <t xml:space="preserve">Wednesday</t>
  </si>
  <si>
    <t xml:space="preserve">TR 8-10mi easy</t>
  </si>
  <si>
    <t xml:space="preserve">TR 6-8mi easy</t>
  </si>
  <si>
    <t xml:space="preserve">Format is the same as the paper sheet, e.g.</t>
  </si>
  <si>
    <t xml:space="preserve">Thursday</t>
  </si>
  <si>
    <t xml:space="preserve">TR + strides, WEIGHTS</t>
  </si>
  <si>
    <t xml:space="preserve">   "TR + hurdles + drills, WEIGHTS"</t>
  </si>
  <si>
    <t xml:space="preserve">Friday</t>
  </si>
  <si>
    <t xml:space="preserve">Fartlek 8x2min hard / 2min float</t>
  </si>
  <si>
    <t xml:space="preserve">6x200 @ mile pace, full rest</t>
  </si>
  <si>
    <t xml:space="preserve">   "3x1mi @ threshold, 2min rest"</t>
  </si>
  <si>
    <t xml:space="preserve">Saturday</t>
  </si>
  <si>
    <t xml:space="preserve">LR 14-16mi</t>
  </si>
  <si>
    <t xml:space="preserve">LR 10-12mi</t>
  </si>
  <si>
    <t xml:space="preserve">Leave a day blank for no plan.</t>
  </si>
  <si>
    <t xml:space="preserve">Sunday</t>
  </si>
  <si>
    <t xml:space="preserve">Off / easy shakeout</t>
  </si>
  <si>
    <t xml:space="preserve">Who is mid-D is set on the Goals tab, not here.</t>
  </si>
  <si>
    <t xml:space="preserve">Yellow cells are yours: the Monday date, and each day's plan in BOTH columns. Leave a day blank for no plan. Don't add or delete rows or columns.</t>
  </si>
  <si>
    <t xml:space="preserve">ATHLETE NAME</t>
  </si>
  <si>
    <t xml:space="preserve">UVA EMAIL</t>
  </si>
  <si>
    <t xml:space="preserve">WEEKLY GOAL (MILES)</t>
  </si>
  <si>
    <t xml:space="preserve">GROUP</t>
  </si>
  <si>
    <t xml:space="preserve">Yellow cells are yours: each athlete's weekly mileage, and their group.</t>
  </si>
  <si>
    <t xml:space="preserve">Henry Elijah Acorn</t>
  </si>
  <si>
    <t xml:space="preserve">dms7jc@virginia.edu</t>
  </si>
  <si>
    <t xml:space="preserve">Distance</t>
  </si>
  <si>
    <t xml:space="preserve">MILEAGE — everyone gets a number, both groups. Plain (58), a range</t>
  </si>
  <si>
    <t xml:space="preserve">Adam Christopher Balewicz</t>
  </si>
  <si>
    <t xml:space="preserve">hww4nw@virginia.edu</t>
  </si>
  <si>
    <t xml:space="preserve">           (55-60), or a minimum (60+). Blank = no goal this week.</t>
  </si>
  <si>
    <t xml:space="preserve">Henry Trepagnier Birge</t>
  </si>
  <si>
    <t xml:space="preserve">qjp4nm@virginia.edu</t>
  </si>
  <si>
    <t xml:space="preserve">GROUP — Distance or Mid-D. This is what decides which of the two</t>
  </si>
  <si>
    <t xml:space="preserve">Ciaran Donnacha Brosnan</t>
  </si>
  <si>
    <t xml:space="preserve">wzz9ed@virginia.edu</t>
  </si>
  <si>
    <t xml:space="preserve">           plan columns the athlete sees. Set it once; it sticks week</t>
  </si>
  <si>
    <t xml:space="preserve">Shane Makana Brosnan</t>
  </si>
  <si>
    <t xml:space="preserve">atu4xv@virginia.edu</t>
  </si>
  <si>
    <t xml:space="preserve">           to week. Leave blank to leave an athlete where they are.</t>
  </si>
  <si>
    <t xml:space="preserve">Aidan Timothy Cox</t>
  </si>
  <si>
    <t xml:space="preserve">sen4zu@virginia.edu</t>
  </si>
  <si>
    <t xml:space="preserve">Names and emails are the current roster — don't retype them. The email</t>
  </si>
  <si>
    <t xml:space="preserve">Philip David Cupial</t>
  </si>
  <si>
    <t xml:space="preserve">hju5az@virginia.edu</t>
  </si>
  <si>
    <t xml:space="preserve">is how the upload finds each athlete's account.</t>
  </si>
  <si>
    <t xml:space="preserve">Trent W Daniels</t>
  </si>
  <si>
    <t xml:space="preserve">gyu5nm@virginia.edu</t>
  </si>
  <si>
    <t xml:space="preserve">James Joseph Donahue</t>
  </si>
  <si>
    <t xml:space="preserve">rwd8an@virginia.edu</t>
  </si>
  <si>
    <t xml:space="preserve">Cayden Wayne Dyer</t>
  </si>
  <si>
    <t xml:space="preserve">kma8am@virginia.edu</t>
  </si>
  <si>
    <t xml:space="preserve">65-70</t>
  </si>
  <si>
    <t xml:space="preserve">Tyler William Edson</t>
  </si>
  <si>
    <t xml:space="preserve">ret8ve@virginia.edu</t>
  </si>
  <si>
    <t xml:space="preserve">Mid-D</t>
  </si>
  <si>
    <t xml:space="preserve">Quinn Dulany Eliason</t>
  </si>
  <si>
    <t xml:space="preserve">dtw3fe@virginia.edu</t>
  </si>
  <si>
    <t xml:space="preserve">James Bruce Ford</t>
  </si>
  <si>
    <t xml:space="preserve">jbe9ns@virginia.edu</t>
  </si>
  <si>
    <t xml:space="preserve">Ben Isaac Godish</t>
  </si>
  <si>
    <t xml:space="preserve">qnp3nj@virginia.edu</t>
  </si>
  <si>
    <t xml:space="preserve">Sean Warren Gray</t>
  </si>
  <si>
    <t xml:space="preserve">euu8xk@virginia.edu</t>
  </si>
  <si>
    <t xml:space="preserve">Cooper Davis Groat</t>
  </si>
  <si>
    <t xml:space="preserve">cgd2va@virginia.edu</t>
  </si>
  <si>
    <t xml:space="preserve">Luke William Hnatt</t>
  </si>
  <si>
    <t xml:space="preserve">tsv8cu@virginia.edu</t>
  </si>
  <si>
    <t xml:space="preserve">Andrew Graham Jones</t>
  </si>
  <si>
    <t xml:space="preserve">hub9fh@virginia.edu</t>
  </si>
  <si>
    <t xml:space="preserve">Alex Leath</t>
  </si>
  <si>
    <t xml:space="preserve">kxy2qc@virginia.edu</t>
  </si>
  <si>
    <t xml:space="preserve">Kayden Thomas Lightner</t>
  </si>
  <si>
    <t xml:space="preserve">nvv5qk@virginia.edu</t>
  </si>
  <si>
    <t xml:space="preserve">Brenden Michael McMahon</t>
  </si>
  <si>
    <t xml:space="preserve">zwh3ga@virginia.edu</t>
  </si>
  <si>
    <t xml:space="preserve">Eric Moore</t>
  </si>
  <si>
    <t xml:space="preserve">zqu3wh@virginia.edu</t>
  </si>
  <si>
    <t xml:space="preserve">Richard Charles Moreno</t>
  </si>
  <si>
    <t xml:space="preserve">jxm8cj@virginia.edu</t>
  </si>
  <si>
    <t xml:space="preserve">Sam John Palmer</t>
  </si>
  <si>
    <t xml:space="preserve">vwz2at@virginia.edu</t>
  </si>
  <si>
    <t xml:space="preserve">Charles Perry</t>
  </si>
  <si>
    <t xml:space="preserve">ghu7yg@virginia.edu</t>
  </si>
  <si>
    <t xml:space="preserve">Pierce Conor Seigne</t>
  </si>
  <si>
    <t xml:space="preserve">xrk9rs@virginia.edu</t>
  </si>
  <si>
    <t xml:space="preserve">Jonathan Logan Seyfert</t>
  </si>
  <si>
    <t xml:space="preserve">mea6wq@virginia.edu</t>
  </si>
  <si>
    <t xml:space="preserve">William Hayden Sheets</t>
  </si>
  <si>
    <t xml:space="preserve">fnh4mv@virginia.edu</t>
  </si>
  <si>
    <t xml:space="preserve">Alexander J Valencia</t>
  </si>
  <si>
    <t xml:space="preserve">nrk7dj@virginia.edu</t>
  </si>
  <si>
    <t xml:space="preserve">Jimmy Wischusen</t>
  </si>
  <si>
    <t xml:space="preserve">kna3ed@virginia.edu</t>
  </si>
  <si>
    <t xml:space="preserve">60+</t>
  </si>
  <si>
    <t xml:space="preserve">Mid-D:</t>
  </si>
  <si>
    <t xml:space="preserve">Distance:</t>
  </si>
  <si>
    <t xml:space="preserve">Blank group cells aren't counted — those guys stay where they were.</t>
  </si>
  <si>
    <t xml:space="preserve">HoosLog week-plan template — how it works</t>
  </si>
  <si>
    <t xml:space="preserve">1. Week Plan tab: set the Monday date (one yellow cell). Type the distance guys' workout in</t>
  </si>
  <si>
    <t xml:space="preserve">   column C and the mid-D guys' workout in column D. Leave a day blank for no plan.</t>
  </si>
  <si>
    <t xml:space="preserve">2. Goals tab: every athlete's weekly mileage, and their group (Distance or Mid-D).</t>
  </si>
  <si>
    <t xml:space="preserve">   Everyone gets mileage. The group only decides which workout column they see.</t>
  </si>
  <si>
    <t xml:space="preserve">3. Save, then drag this file into HoosLog (Coach → Post a week). You'll see exactly what it</t>
  </si>
  <si>
    <t xml:space="preserve">   says — including who's moving groups — before anything posts.</t>
  </si>
  <si>
    <t xml:space="preserve">Group assignment sticks. Once a guy is marked Mid-D he stays Mid-D every week until you</t>
  </si>
  <si>
    <t xml:space="preserve">change that cell. A blank group cell changes nothing — it does not reset him to distance.</t>
  </si>
  <si>
    <t xml:space="preserve">Rules the upload depends on: don't rename tabs, don't add or delete rows or columns on the</t>
  </si>
  <si>
    <t xml:space="preserve">Week Plan tab, and emails on the Goals tab must match athletes' HoosLog login emails.</t>
  </si>
  <si>
    <t xml:space="preserve">Recreated from the team's paper weekly sheet — same structure, same workflow. (docs/mockups/10)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</si>
</sst>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ddd\ m/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32D4B"/>
      <name val="Arial"/>
      <family val="0"/>
      <charset val="1"/>
    </font>
    <font>
      <b val="true"/>
      <sz val="10"/>
      <color rgb="FF232D4B"/>
      <name val="Arial"/>
      <family val="0"/>
      <charset val="1"/>
    </font>
    <font>
      <sz val="10"/>
      <name val="Arial"/>
      <family val="0"/>
      <charset val="1"/>
    </font>
    <font>
      <sz val="9"/>
      <color rgb="FF5C64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232D4B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32D4B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C5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5D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47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32D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0"/>
    <col collapsed="false" customWidth="true" hidden="false" outlineLevel="0" max="4" min="3" style="1" width="50"/>
    <col collapsed="false" customWidth="true" hidden="false" outlineLevel="0" max="6" min="6" style="1" width="44"/>
  </cols>
  <sheetData>
    <row r="1" customFormat="false" ht="19.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4" t="n">
        <v>46272</v>
      </c>
      <c r="C3" s="5" t="s">
        <v>2</v>
      </c>
    </row>
    <row r="5" customFormat="false" ht="15" hidden="false" customHeight="true" outlineLevel="0" collapsed="false">
      <c r="A5" s="6" t="s">
        <v>3</v>
      </c>
      <c r="B5" s="6" t="s">
        <v>4</v>
      </c>
      <c r="C5" s="6" t="s">
        <v>5</v>
      </c>
      <c r="D5" s="6" t="s">
        <v>6</v>
      </c>
      <c r="F5" s="3" t="s">
        <v>7</v>
      </c>
    </row>
    <row r="6" customFormat="false" ht="30" hidden="false" customHeight="true" outlineLevel="0" collapsed="false">
      <c r="A6" s="7" t="s">
        <v>8</v>
      </c>
      <c r="B6" s="8" t="n">
        <f aca="false">$B$3</f>
        <v>46272</v>
      </c>
      <c r="C6" s="9" t="s">
        <v>9</v>
      </c>
      <c r="D6" s="9" t="s">
        <v>9</v>
      </c>
      <c r="F6" s="5" t="s">
        <v>10</v>
      </c>
    </row>
    <row r="7" customFormat="false" ht="30" hidden="false" customHeight="true" outlineLevel="0" collapsed="false">
      <c r="A7" s="7" t="s">
        <v>11</v>
      </c>
      <c r="B7" s="8" t="n">
        <f aca="false">$B$3+1</f>
        <v>46273</v>
      </c>
      <c r="C7" s="9" t="s">
        <v>12</v>
      </c>
      <c r="D7" s="9" t="s">
        <v>13</v>
      </c>
      <c r="F7" s="5" t="s">
        <v>14</v>
      </c>
    </row>
    <row r="8" customFormat="false" ht="30" hidden="false" customHeight="true" outlineLevel="0" collapsed="false">
      <c r="A8" s="7" t="s">
        <v>15</v>
      </c>
      <c r="B8" s="8" t="n">
        <f aca="false">$B$3+2</f>
        <v>46274</v>
      </c>
      <c r="C8" s="9" t="s">
        <v>16</v>
      </c>
      <c r="D8" s="9" t="s">
        <v>17</v>
      </c>
      <c r="F8" s="5" t="s">
        <v>18</v>
      </c>
    </row>
    <row r="9" customFormat="false" ht="30" hidden="false" customHeight="true" outlineLevel="0" collapsed="false">
      <c r="A9" s="7" t="s">
        <v>19</v>
      </c>
      <c r="B9" s="8" t="n">
        <f aca="false">$B$3+3</f>
        <v>46275</v>
      </c>
      <c r="C9" s="9" t="s">
        <v>20</v>
      </c>
      <c r="D9" s="9" t="s">
        <v>20</v>
      </c>
      <c r="F9" s="5" t="s">
        <v>21</v>
      </c>
    </row>
    <row r="10" customFormat="false" ht="30" hidden="false" customHeight="true" outlineLevel="0" collapsed="false">
      <c r="A10" s="7" t="s">
        <v>22</v>
      </c>
      <c r="B10" s="8" t="n">
        <f aca="false">$B$3+4</f>
        <v>46276</v>
      </c>
      <c r="C10" s="9" t="s">
        <v>23</v>
      </c>
      <c r="D10" s="9" t="s">
        <v>24</v>
      </c>
      <c r="F10" s="5" t="s">
        <v>25</v>
      </c>
    </row>
    <row r="11" customFormat="false" ht="30" hidden="false" customHeight="true" outlineLevel="0" collapsed="false">
      <c r="A11" s="7" t="s">
        <v>26</v>
      </c>
      <c r="B11" s="8" t="n">
        <f aca="false">$B$3+5</f>
        <v>46277</v>
      </c>
      <c r="C11" s="9" t="s">
        <v>27</v>
      </c>
      <c r="D11" s="9" t="s">
        <v>28</v>
      </c>
      <c r="F11" s="5" t="s">
        <v>29</v>
      </c>
    </row>
    <row r="12" customFormat="false" ht="30" hidden="false" customHeight="true" outlineLevel="0" collapsed="false">
      <c r="A12" s="7" t="s">
        <v>30</v>
      </c>
      <c r="B12" s="8" t="n">
        <f aca="false">$B$3+6</f>
        <v>46278</v>
      </c>
      <c r="C12" s="9" t="s">
        <v>31</v>
      </c>
      <c r="D12" s="9" t="s">
        <v>31</v>
      </c>
      <c r="F12" s="5" t="s">
        <v>32</v>
      </c>
    </row>
    <row r="14" customFormat="false" ht="15" hidden="false" customHeight="true" outlineLevel="0" collapsed="false">
      <c r="A14" s="5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0"/>
    <col collapsed="false" customWidth="true" hidden="false" outlineLevel="0" max="3" min="3" style="1" width="20"/>
    <col collapsed="false" customWidth="true" hidden="false" outlineLevel="0" max="4" min="4" style="1" width="16"/>
    <col collapsed="false" customWidth="true" hidden="false" outlineLevel="0" max="6" min="6" style="1" width="52"/>
    <col collapsed="false" customWidth="true" hidden="false" outlineLevel="0" max="7" min="7" style="1" width="10"/>
  </cols>
  <sheetData>
    <row r="1" customFormat="false" ht="39" hidden="false" customHeight="true" outlineLevel="0" collapsed="false">
      <c r="A1" s="10" t="s">
        <v>34</v>
      </c>
      <c r="B1" s="10" t="s">
        <v>35</v>
      </c>
      <c r="C1" s="10" t="s">
        <v>36</v>
      </c>
      <c r="D1" s="10" t="s">
        <v>37</v>
      </c>
      <c r="F1" s="11" t="s">
        <v>38</v>
      </c>
    </row>
    <row r="2" customFormat="false" ht="15" hidden="false" customHeight="true" outlineLevel="0" collapsed="false">
      <c r="A2" s="12" t="s">
        <v>39</v>
      </c>
      <c r="B2" s="12" t="s">
        <v>40</v>
      </c>
      <c r="C2" s="13" t="n">
        <v>62</v>
      </c>
      <c r="D2" s="14" t="s">
        <v>41</v>
      </c>
      <c r="F2" s="5" t="s">
        <v>42</v>
      </c>
    </row>
    <row r="3" customFormat="false" ht="15" hidden="false" customHeight="true" outlineLevel="0" collapsed="false">
      <c r="A3" s="12" t="s">
        <v>43</v>
      </c>
      <c r="B3" s="12" t="s">
        <v>44</v>
      </c>
      <c r="C3" s="13" t="n">
        <v>62</v>
      </c>
      <c r="D3" s="14" t="s">
        <v>41</v>
      </c>
      <c r="F3" s="5" t="s">
        <v>45</v>
      </c>
    </row>
    <row r="4" customFormat="false" ht="15" hidden="false" customHeight="true" outlineLevel="0" collapsed="false">
      <c r="A4" s="12" t="s">
        <v>46</v>
      </c>
      <c r="B4" s="12" t="s">
        <v>47</v>
      </c>
      <c r="C4" s="13" t="n">
        <v>62</v>
      </c>
      <c r="D4" s="14" t="s">
        <v>41</v>
      </c>
      <c r="F4" s="5" t="s">
        <v>48</v>
      </c>
    </row>
    <row r="5" customFormat="false" ht="15" hidden="false" customHeight="true" outlineLevel="0" collapsed="false">
      <c r="A5" s="12" t="s">
        <v>49</v>
      </c>
      <c r="B5" s="12" t="s">
        <v>50</v>
      </c>
      <c r="C5" s="13" t="n">
        <v>62</v>
      </c>
      <c r="D5" s="14" t="s">
        <v>41</v>
      </c>
      <c r="F5" s="5" t="s">
        <v>51</v>
      </c>
    </row>
    <row r="6" customFormat="false" ht="15" hidden="false" customHeight="true" outlineLevel="0" collapsed="false">
      <c r="A6" s="12" t="s">
        <v>52</v>
      </c>
      <c r="B6" s="12" t="s">
        <v>53</v>
      </c>
      <c r="C6" s="13" t="n">
        <v>62</v>
      </c>
      <c r="D6" s="14" t="s">
        <v>41</v>
      </c>
      <c r="F6" s="5" t="s">
        <v>54</v>
      </c>
    </row>
    <row r="7" customFormat="false" ht="15" hidden="false" customHeight="true" outlineLevel="0" collapsed="false">
      <c r="A7" s="12" t="s">
        <v>55</v>
      </c>
      <c r="B7" s="12" t="s">
        <v>56</v>
      </c>
      <c r="C7" s="13" t="n">
        <v>62</v>
      </c>
      <c r="D7" s="14" t="s">
        <v>41</v>
      </c>
      <c r="F7" s="5" t="s">
        <v>57</v>
      </c>
    </row>
    <row r="8" customFormat="false" ht="15" hidden="false" customHeight="true" outlineLevel="0" collapsed="false">
      <c r="A8" s="12" t="s">
        <v>58</v>
      </c>
      <c r="B8" s="12" t="s">
        <v>59</v>
      </c>
      <c r="C8" s="13" t="n">
        <v>62</v>
      </c>
      <c r="D8" s="14" t="s">
        <v>41</v>
      </c>
      <c r="F8" s="5" t="s">
        <v>60</v>
      </c>
    </row>
    <row r="9" customFormat="false" ht="15" hidden="false" customHeight="true" outlineLevel="0" collapsed="false">
      <c r="A9" s="12" t="s">
        <v>61</v>
      </c>
      <c r="B9" s="12" t="s">
        <v>62</v>
      </c>
      <c r="C9" s="13" t="n">
        <v>62</v>
      </c>
      <c r="D9" s="14" t="s">
        <v>41</v>
      </c>
    </row>
    <row r="10" customFormat="false" ht="15" hidden="false" customHeight="true" outlineLevel="0" collapsed="false">
      <c r="A10" s="12" t="s">
        <v>63</v>
      </c>
      <c r="B10" s="12" t="s">
        <v>64</v>
      </c>
      <c r="C10" s="13" t="n">
        <v>62</v>
      </c>
      <c r="D10" s="14" t="s">
        <v>41</v>
      </c>
    </row>
    <row r="11" customFormat="false" ht="15" hidden="false" customHeight="true" outlineLevel="0" collapsed="false">
      <c r="A11" s="12" t="s">
        <v>65</v>
      </c>
      <c r="B11" s="12" t="s">
        <v>66</v>
      </c>
      <c r="C11" s="13" t="s">
        <v>67</v>
      </c>
      <c r="D11" s="14" t="s">
        <v>41</v>
      </c>
    </row>
    <row r="12" customFormat="false" ht="15" hidden="false" customHeight="true" outlineLevel="0" collapsed="false">
      <c r="A12" s="12" t="s">
        <v>68</v>
      </c>
      <c r="B12" s="12" t="s">
        <v>69</v>
      </c>
      <c r="C12" s="13" t="n">
        <v>45</v>
      </c>
      <c r="D12" s="14" t="s">
        <v>70</v>
      </c>
    </row>
    <row r="13" customFormat="false" ht="15" hidden="false" customHeight="true" outlineLevel="0" collapsed="false">
      <c r="A13" s="12" t="s">
        <v>71</v>
      </c>
      <c r="B13" s="12" t="s">
        <v>72</v>
      </c>
      <c r="C13" s="13" t="n">
        <v>62</v>
      </c>
      <c r="D13" s="14" t="s">
        <v>41</v>
      </c>
    </row>
    <row r="14" customFormat="false" ht="15" hidden="false" customHeight="true" outlineLevel="0" collapsed="false">
      <c r="A14" s="12" t="s">
        <v>73</v>
      </c>
      <c r="B14" s="12" t="s">
        <v>74</v>
      </c>
      <c r="C14" s="13" t="n">
        <v>62</v>
      </c>
      <c r="D14" s="14" t="s">
        <v>41</v>
      </c>
    </row>
    <row r="15" customFormat="false" ht="15" hidden="false" customHeight="true" outlineLevel="0" collapsed="false">
      <c r="A15" s="12" t="s">
        <v>75</v>
      </c>
      <c r="B15" s="12" t="s">
        <v>76</v>
      </c>
      <c r="C15" s="13" t="n">
        <v>62</v>
      </c>
      <c r="D15" s="14" t="s">
        <v>41</v>
      </c>
    </row>
    <row r="16" customFormat="false" ht="15" hidden="false" customHeight="true" outlineLevel="0" collapsed="false">
      <c r="A16" s="12" t="s">
        <v>77</v>
      </c>
      <c r="B16" s="12" t="s">
        <v>78</v>
      </c>
      <c r="C16" s="13" t="n">
        <v>62</v>
      </c>
      <c r="D16" s="14" t="s">
        <v>41</v>
      </c>
    </row>
    <row r="17" customFormat="false" ht="15" hidden="false" customHeight="true" outlineLevel="0" collapsed="false">
      <c r="A17" s="12" t="s">
        <v>79</v>
      </c>
      <c r="B17" s="12" t="s">
        <v>80</v>
      </c>
      <c r="C17" s="13" t="n">
        <v>62</v>
      </c>
      <c r="D17" s="14" t="s">
        <v>41</v>
      </c>
    </row>
    <row r="18" customFormat="false" ht="15" hidden="false" customHeight="true" outlineLevel="0" collapsed="false">
      <c r="A18" s="12" t="s">
        <v>81</v>
      </c>
      <c r="B18" s="12" t="s">
        <v>82</v>
      </c>
      <c r="C18" s="13" t="n">
        <v>62</v>
      </c>
      <c r="D18" s="14" t="s">
        <v>41</v>
      </c>
    </row>
    <row r="19" customFormat="false" ht="15" hidden="false" customHeight="true" outlineLevel="0" collapsed="false">
      <c r="A19" s="12" t="s">
        <v>83</v>
      </c>
      <c r="B19" s="12" t="s">
        <v>84</v>
      </c>
      <c r="C19" s="13" t="n">
        <v>62</v>
      </c>
      <c r="D19" s="14" t="s">
        <v>41</v>
      </c>
    </row>
    <row r="20" customFormat="false" ht="15" hidden="false" customHeight="true" outlineLevel="0" collapsed="false">
      <c r="A20" s="12" t="s">
        <v>85</v>
      </c>
      <c r="B20" s="12" t="s">
        <v>86</v>
      </c>
      <c r="C20" s="13" t="n">
        <v>45</v>
      </c>
      <c r="D20" s="14" t="s">
        <v>70</v>
      </c>
    </row>
    <row r="21" customFormat="false" ht="15" hidden="false" customHeight="true" outlineLevel="0" collapsed="false">
      <c r="A21" s="12" t="s">
        <v>87</v>
      </c>
      <c r="B21" s="12" t="s">
        <v>88</v>
      </c>
      <c r="C21" s="13" t="n">
        <v>62</v>
      </c>
      <c r="D21" s="14" t="s">
        <v>41</v>
      </c>
    </row>
    <row r="22" customFormat="false" ht="15" hidden="false" customHeight="true" outlineLevel="0" collapsed="false">
      <c r="A22" s="12" t="s">
        <v>89</v>
      </c>
      <c r="B22" s="12" t="s">
        <v>90</v>
      </c>
      <c r="C22" s="13" t="n">
        <v>70</v>
      </c>
      <c r="D22" s="14" t="s">
        <v>41</v>
      </c>
    </row>
    <row r="23" customFormat="false" ht="15" hidden="false" customHeight="true" outlineLevel="0" collapsed="false">
      <c r="A23" s="12" t="s">
        <v>91</v>
      </c>
      <c r="B23" s="12" t="s">
        <v>92</v>
      </c>
      <c r="C23" s="13" t="n">
        <v>45</v>
      </c>
      <c r="D23" s="14" t="s">
        <v>70</v>
      </c>
    </row>
    <row r="24" customFormat="false" ht="15" hidden="false" customHeight="true" outlineLevel="0" collapsed="false">
      <c r="A24" s="12" t="s">
        <v>93</v>
      </c>
      <c r="B24" s="12" t="s">
        <v>94</v>
      </c>
      <c r="C24" s="13" t="n">
        <v>62</v>
      </c>
      <c r="D24" s="14" t="s">
        <v>41</v>
      </c>
    </row>
    <row r="25" customFormat="false" ht="15" hidden="false" customHeight="true" outlineLevel="0" collapsed="false">
      <c r="A25" s="12" t="s">
        <v>95</v>
      </c>
      <c r="B25" s="12" t="s">
        <v>96</v>
      </c>
      <c r="C25" s="13" t="n">
        <v>62</v>
      </c>
      <c r="D25" s="14" t="s">
        <v>41</v>
      </c>
    </row>
    <row r="26" customFormat="false" ht="15" hidden="false" customHeight="true" outlineLevel="0" collapsed="false">
      <c r="A26" s="12" t="s">
        <v>97</v>
      </c>
      <c r="B26" s="12" t="s">
        <v>98</v>
      </c>
      <c r="C26" s="13" t="n">
        <v>45</v>
      </c>
      <c r="D26" s="14" t="s">
        <v>70</v>
      </c>
    </row>
    <row r="27" customFormat="false" ht="15" hidden="false" customHeight="true" outlineLevel="0" collapsed="false">
      <c r="A27" s="12" t="s">
        <v>99</v>
      </c>
      <c r="B27" s="12" t="s">
        <v>100</v>
      </c>
      <c r="C27" s="13" t="n">
        <v>62</v>
      </c>
      <c r="D27" s="14" t="s">
        <v>41</v>
      </c>
    </row>
    <row r="28" customFormat="false" ht="15" hidden="false" customHeight="true" outlineLevel="0" collapsed="false">
      <c r="A28" s="12" t="s">
        <v>101</v>
      </c>
      <c r="B28" s="12" t="s">
        <v>102</v>
      </c>
      <c r="C28" s="13" t="n">
        <v>62</v>
      </c>
      <c r="D28" s="14" t="s">
        <v>41</v>
      </c>
    </row>
    <row r="29" customFormat="false" ht="15" hidden="false" customHeight="true" outlineLevel="0" collapsed="false">
      <c r="A29" s="12" t="s">
        <v>103</v>
      </c>
      <c r="B29" s="12" t="s">
        <v>104</v>
      </c>
      <c r="C29" s="13" t="n">
        <v>58</v>
      </c>
      <c r="D29" s="14" t="s">
        <v>41</v>
      </c>
    </row>
    <row r="30" customFormat="false" ht="15" hidden="false" customHeight="true" outlineLevel="0" collapsed="false">
      <c r="A30" s="12" t="s">
        <v>105</v>
      </c>
      <c r="B30" s="12" t="s">
        <v>106</v>
      </c>
      <c r="C30" s="13" t="n">
        <v>45</v>
      </c>
      <c r="D30" s="14" t="s">
        <v>70</v>
      </c>
    </row>
    <row r="31" customFormat="false" ht="15" hidden="false" customHeight="true" outlineLevel="0" collapsed="false">
      <c r="A31" s="12" t="s">
        <v>107</v>
      </c>
      <c r="B31" s="12" t="s">
        <v>108</v>
      </c>
      <c r="C31" s="13" t="s">
        <v>109</v>
      </c>
      <c r="D31" s="14" t="s">
        <v>41</v>
      </c>
    </row>
    <row r="33" customFormat="false" ht="15" hidden="false" customHeight="true" outlineLevel="0" collapsed="false">
      <c r="F33" s="3" t="s">
        <v>110</v>
      </c>
      <c r="G33" s="15" t="n">
        <f aca="false">COUNTIF($D$2:$D$31,"Mid-D")</f>
        <v>5</v>
      </c>
    </row>
    <row r="34" customFormat="false" ht="15" hidden="false" customHeight="true" outlineLevel="0" collapsed="false">
      <c r="F34" s="3" t="s">
        <v>111</v>
      </c>
      <c r="G34" s="15" t="n">
        <f aca="false">COUNTIF($D$2:$D$31,"Distance")</f>
        <v>25</v>
      </c>
    </row>
    <row r="35" customFormat="false" ht="15" hidden="false" customHeight="true" outlineLevel="0" collapsed="false">
      <c r="F35" s="5" t="s">
        <v>112</v>
      </c>
    </row>
  </sheetData>
  <dataValidations count="1">
    <dataValidation allowBlank="true" error="Type Distance or Mid-D, or leave it blank." errorStyle="stop" errorTitle="Distance or Mid-D" operator="between" prompt="Distance or Mid-D. Leave blank to keep the athlete where they already are." promptTitle="Training group" showDropDown="false" showErrorMessage="false" showInputMessage="false" sqref="D2:D31" type="list">
      <formula1>"Distance,Mid-D"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4"/>
  </cols>
  <sheetData>
    <row r="1" customFormat="false" ht="19.5" hidden="false" customHeight="true" outlineLevel="0" collapsed="false">
      <c r="A1" s="2" t="s">
        <v>113</v>
      </c>
    </row>
    <row r="3" customFormat="false" ht="15" hidden="false" customHeight="true" outlineLevel="0" collapsed="false">
      <c r="A3" s="15" t="s">
        <v>114</v>
      </c>
    </row>
    <row r="4" customFormat="false" ht="15" hidden="false" customHeight="true" outlineLevel="0" collapsed="false">
      <c r="A4" s="15" t="s">
        <v>115</v>
      </c>
    </row>
    <row r="5" customFormat="false" ht="15" hidden="false" customHeight="true" outlineLevel="0" collapsed="false">
      <c r="A5" s="15" t="s">
        <v>116</v>
      </c>
    </row>
    <row r="6" customFormat="false" ht="15" hidden="false" customHeight="true" outlineLevel="0" collapsed="false">
      <c r="A6" s="15" t="s">
        <v>117</v>
      </c>
    </row>
    <row r="7" customFormat="false" ht="15" hidden="false" customHeight="true" outlineLevel="0" collapsed="false">
      <c r="A7" s="15" t="s">
        <v>118</v>
      </c>
    </row>
    <row r="8" customFormat="false" ht="15" hidden="false" customHeight="true" outlineLevel="0" collapsed="false">
      <c r="A8" s="15" t="s">
        <v>119</v>
      </c>
    </row>
    <row r="10" customFormat="false" ht="15" hidden="false" customHeight="true" outlineLevel="0" collapsed="false">
      <c r="A10" s="5" t="s">
        <v>120</v>
      </c>
    </row>
    <row r="11" customFormat="false" ht="15" hidden="false" customHeight="true" outlineLevel="0" collapsed="false">
      <c r="A11" s="5" t="s">
        <v>121</v>
      </c>
    </row>
    <row r="13" customFormat="false" ht="15" hidden="false" customHeight="true" outlineLevel="0" collapsed="false">
      <c r="A13" s="5" t="s">
        <v>122</v>
      </c>
    </row>
    <row r="14" customFormat="false" ht="15" hidden="false" customHeight="true" outlineLevel="0" collapsed="false">
      <c r="A14" s="5" t="s">
        <v>123</v>
      </c>
    </row>
    <row r="16" customFormat="false" ht="15" hidden="false" customHeight="true" outlineLevel="0" collapsed="false">
      <c r="A16" s="5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2026-08-31T01:09:56Z</dcterms:created>
  <dc:creator>openpyxl</dc:creator>
  <dc:description/>
  <dc:language>en-US</dc:language>
  <cp:lastModifiedBy/>
  <dcterms:modified xsi:type="dcterms:W3CDTF">2026-08-31T01:10:26Z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